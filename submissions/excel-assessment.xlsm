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IIT\Downloads\"/>
    </mc:Choice>
  </mc:AlternateContent>
  <xr:revisionPtr revIDLastSave="0" documentId="13_ncr:1_{2C501641-79B0-4937-90FE-9F4E2131D6A6}" xr6:coauthVersionLast="36" xr6:coauthVersionMax="47" xr10:uidLastSave="{00000000-0000-0000-0000-000000000000}"/>
  <bookViews>
    <workbookView xWindow="0" yWindow="0" windowWidth="19200" windowHeight="705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 a="1"/>
  <c r="C22" i="19" s="1"/>
  <c r="E16" i="16"/>
  <c r="D16" i="16"/>
  <c r="C16" i="16"/>
  <c r="B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22" i="18"/>
  <c r="E22" i="18"/>
  <c r="D22" i="18"/>
  <c r="C22" i="18"/>
  <c r="B22" i="18"/>
  <c r="F21" i="18"/>
  <c r="E21" i="18"/>
  <c r="D21" i="18"/>
  <c r="C21" i="18"/>
  <c r="B21" i="18"/>
  <c r="F27" i="18"/>
  <c r="F26" i="18"/>
  <c r="E27" i="18"/>
  <c r="E26" i="18"/>
  <c r="D27" i="18"/>
  <c r="D26" i="18"/>
  <c r="C27" i="18"/>
  <c r="C26" i="18"/>
  <c r="B27" i="18"/>
  <c r="B26" i="18"/>
  <c r="F25" i="18"/>
  <c r="E25" i="18"/>
  <c r="D25" i="18"/>
  <c r="C25" i="18"/>
  <c r="B25" i="18"/>
  <c r="F24" i="18"/>
  <c r="E24" i="18"/>
  <c r="D24" i="18"/>
  <c r="C24" i="18"/>
  <c r="B24" i="18"/>
  <c r="F23" i="18"/>
  <c r="E23" i="18"/>
  <c r="D23" i="18"/>
  <c r="C23" i="18"/>
  <c r="C20" i="18"/>
  <c r="B23" i="18"/>
  <c r="F20" i="18"/>
  <c r="E20" i="18"/>
  <c r="D20" i="18"/>
  <c r="B20" i="18"/>
  <c r="F19" i="18"/>
  <c r="E19" i="18"/>
  <c r="D19" i="18"/>
  <c r="C19" i="18"/>
  <c r="B19" i="18"/>
  <c r="F18" i="18"/>
  <c r="E18" i="18"/>
  <c r="D18" i="18"/>
  <c r="C18" i="18"/>
  <c r="B18" i="18"/>
  <c r="F17" i="18"/>
  <c r="E17" i="18"/>
  <c r="D17" i="18"/>
  <c r="C17" i="18"/>
  <c r="B17" i="18"/>
  <c r="F16" i="18"/>
  <c r="E16" i="18"/>
  <c r="D16" i="18"/>
  <c r="C16" i="18"/>
  <c r="B16" i="18"/>
  <c r="F15" i="18"/>
  <c r="E15" i="18"/>
  <c r="D15" i="18"/>
  <c r="C15" i="18"/>
  <c r="B15" i="18"/>
  <c r="F14" i="18"/>
  <c r="E14" i="18"/>
  <c r="D14" i="18"/>
  <c r="C14" i="18"/>
  <c r="B14" i="18"/>
  <c r="F13" i="18"/>
  <c r="D13" i="18"/>
  <c r="C13" i="18"/>
  <c r="B13" i="18"/>
  <c r="F12" i="18"/>
  <c r="E13" i="18"/>
  <c r="E12" i="18"/>
  <c r="D12" i="18"/>
  <c r="C12" i="18"/>
  <c r="B12" i="18"/>
  <c r="F11" i="18"/>
  <c r="E11" i="18"/>
  <c r="D11" i="18"/>
  <c r="C11" i="18"/>
  <c r="B11" i="18"/>
  <c r="F10" i="18"/>
  <c r="E10" i="18"/>
  <c r="D10" i="18"/>
  <c r="C10" i="18"/>
  <c r="B10" i="18"/>
  <c r="F9" i="18"/>
  <c r="E9" i="18"/>
  <c r="D9" i="18"/>
  <c r="C9" i="18"/>
  <c r="B9" i="18"/>
  <c r="F8" i="18"/>
  <c r="E8" i="18"/>
  <c r="D8" i="18"/>
  <c r="C8" i="18"/>
  <c r="B8" i="18"/>
  <c r="F7" i="18"/>
  <c r="E7" i="18"/>
  <c r="D7" i="18"/>
  <c r="C7" i="18"/>
  <c r="B7" i="18"/>
  <c r="F6" i="18"/>
  <c r="E6" i="18"/>
  <c r="D6" i="18"/>
  <c r="C6" i="18"/>
  <c r="B6" i="18"/>
  <c r="H42" i="1"/>
</calcChain>
</file>

<file path=xl/sharedStrings.xml><?xml version="1.0" encoding="utf-8"?>
<sst xmlns="http://schemas.openxmlformats.org/spreadsheetml/2006/main" count="333" uniqueCount="188">
  <si>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</si>
  <si>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</si>
  <si>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</si>
  <si>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</si>
  <si>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</si>
  <si>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</si>
  <si>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</si>
  <si>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</si>
  <si>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</si>
  <si>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</si>
  <si>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</si>
  <si>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</si>
  <si>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</si>
  <si>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</si>
  <si>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</si>
  <si>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</si>
  <si>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</si>
  <si>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</si>
  <si>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</si>
  <si>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</si>
  <si>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</si>
  <si>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</si>
  <si>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</si>
  <si>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</si>
  <si>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</si>
  <si>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</si>
  <si>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</si>
  <si>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</si>
  <si>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</si>
  <si>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</si>
  <si>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</si>
  <si>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</si>
  <si>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</si>
  <si>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</si>
  <si>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</si>
  <si>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</si>
  <si>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</si>
  <si>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</si>
  <si>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</si>
  <si>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</si>
  <si>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</si>
  <si>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</si>
  <si>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</si>
  <si>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</si>
  <si>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</si>
  <si>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</si>
  <si>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</si>
  <si>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</si>
  <si>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</si>
  <si>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</si>
  <si>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</si>
  <si>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</si>
  <si>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</si>
  <si>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</si>
  <si>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</si>
  <si>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</si>
  <si>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</si>
  <si>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</si>
  <si>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</si>
  <si>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</si>
  <si>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</si>
  <si>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</si>
  <si>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</si>
  <si>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</si>
  <si>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</si>
  <si>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</si>
  <si>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</si>
  <si>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</si>
  <si>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</si>
  <si>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</si>
  <si>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</si>
  <si>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</si>
  <si>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</si>
  <si>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</si>
  <si>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</si>
  <si>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</si>
  <si>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</si>
  <si>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</si>
  <si>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</si>
  <si>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</si>
  <si>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</si>
  <si>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</si>
  <si>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</si>
  <si>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</si>
  <si>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</si>
  <si>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</si>
  <si>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</si>
  <si>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</si>
  <si>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</si>
  <si>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</si>
  <si>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</si>
  <si>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</si>
  <si>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</si>
  <si>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</si>
  <si>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</si>
  <si>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</si>
  <si>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</si>
  <si>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</si>
  <si>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</si>
  <si>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</si>
  <si>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</si>
  <si>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</si>
  <si>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</si>
  <si>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</si>
  <si>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</si>
  <si>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</si>
  <si>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</si>
  <si>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</si>
  <si>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</si>
  <si>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</si>
  <si>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</si>
  <si>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</si>
  <si>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</si>
  <si>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</si>
  <si>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</si>
  <si>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</si>
  <si>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</si>
  <si>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</si>
  <si>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</si>
  <si>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</si>
  <si>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</si>
  <si>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</si>
  <si>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</si>
  <si>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</si>
  <si>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</si>
  <si>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</si>
  <si>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</si>
  <si>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</si>
  <si>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</si>
  <si>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</si>
  <si>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</si>
  <si>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</si>
  <si>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</si>
  <si>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</si>
  <si>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</si>
  <si>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</si>
  <si>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</si>
  <si>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</si>
  <si>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</si>
  <si>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</si>
  <si>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</si>
  <si>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</si>
  <si>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</si>
  <si>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</si>
  <si>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</si>
  <si>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</si>
  <si>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</si>
  <si>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</si>
  <si>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</si>
  <si>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</si>
  <si>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</si>
  <si>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</si>
  <si>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</si>
  <si>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</si>
  <si>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</si>
  <si>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</si>
  <si>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</si>
  <si>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</si>
  <si>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</si>
  <si>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</si>
  <si>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</si>
  <si>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</si>
  <si>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</si>
  <si>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</si>
  <si>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</si>
  <si>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</si>
  <si>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</si>
  <si>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</si>
  <si>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</si>
  <si>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</si>
  <si>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</si>
  <si>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</si>
  <si>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</si>
  <si>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</si>
  <si>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</si>
  <si>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</si>
  <si>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</si>
  <si>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"=SUMIFS(H2:H40, H2:H40, "&gt;20")"</t>
  </si>
  <si>
    <t>"=LEFT(A16,5), for 20000 value"</t>
  </si>
  <si>
    <t>"=MID(A16, FIND("-", A16) + 1, FIND("-", MID(A16, FIND("-", A16) + 1, LEN(A16))) - 1), this formula for Monday"</t>
  </si>
  <si>
    <t>"=VALUE(MID(A16, FIND("-", A16, FIND("-", A16) + 1) + 1, FIND("-", MID(A16, FIND("-", A16, FIND("-", A16) + 1) + 1, LEN(A16))) - 1)), this formula for 0"</t>
  </si>
  <si>
    <t>"=MID(A16, FIND("-", A16, FIND("-", A16, FIND("-", A16) + 1) + 1) + 1, FIND("-", MID(A16, FIND("-", A16, FIND("-", A16, FIND("-", A16) + 1) + 1) + 1, LEN(A16))) - 1), this formula for Sunday"</t>
  </si>
  <si>
    <t>"=RIGHT(A16,2), for 24"</t>
  </si>
  <si>
    <t>I used left function to extract the value of 20000 and same for 24 I used the right function and for Monday, 0 and Sunday values I used the Find function and those values were in mid so I used the above formula and "-" was the seperator so I included that to the position of the first hyphen and adds 1 to get the starting position of the text you want to extract</t>
  </si>
  <si>
    <t>"=SUM(IF(ISNA(C12:C21), 20, C12:C21))"</t>
  </si>
  <si>
    <t>the above formula is what I used to get the sum of sales values and in this formula I used sum and if function and also isna function to check for the NA values in the range and substitute it with the value 20.</t>
  </si>
  <si>
    <t>"=IFERROR(VLOOKUP(A23, $A$9:$J$18, MATCH(B23, $M$9:$N$18, 0) + 1, FALSE), "Not Found")"</t>
  </si>
  <si>
    <t>this is the formula which I thought should work but it's not working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</si>
</sst>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4" activePane="bottomLeft" state="frozen"/>
      <selection pane="bottomLeft" activeCell="A30" sqref="A3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 x14ac:dyDescent="0.35">
      <c r="H42" s="1">
        <f>SUMIFS(H2:H40, H2:H40, "&gt;20")</f>
        <v>1473.0000000000002</v>
      </c>
    </row>
  </sheetData>
  <autoFilter ref="A1:X40" xr:uid="{024972EE-89FB-41FE-8A29-C0B6DA12118F}"/>
  <conditionalFormatting sqref="A1:A1048576">
    <cfRule type="duplicateValues" dxfId="3" priority="7"/>
  </conditionalFormatting>
  <conditionalFormatting sqref="B1:B1048576">
    <cfRule type="duplicateValues" dxfId="2" priority="6"/>
  </conditionalFormatting>
  <conditionalFormatting sqref="A1:X40">
    <cfRule type="cellIs" dxfId="1" priority="4" operator="equal">
      <formula>-1</formula>
    </cfRule>
    <cfRule type="cellIs" dxfId="0" priority="3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9" zoomScaleNormal="100" workbookViewId="0">
      <selection activeCell="F30" sqref="F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VLOOKUP("Warrendale", Dataset!A:G, 7, FALSE)</f>
        <v>2.7</v>
      </c>
      <c r="C6" s="11">
        <f>VLOOKUP("Warrendale", Dataset!A:N, 14, FALSE)</f>
        <v>7.6</v>
      </c>
      <c r="D6" s="11">
        <f>VLOOKUP("Warrendale", Dataset!A:R, 18, FALSE)</f>
        <v>4.2</v>
      </c>
      <c r="E6" s="11">
        <f>VLOOKUP("Warrendale", Dataset!A:T, 20, FALSE)</f>
        <v>8.9</v>
      </c>
      <c r="F6" s="8">
        <f>VLOOKUP("Warrendale", Dataset!A:V, 22, FALSE)</f>
        <v>4.2</v>
      </c>
    </row>
    <row r="7" spans="1:7" ht="14.5" x14ac:dyDescent="0.35">
      <c r="A7" s="7" t="s">
        <v>4</v>
      </c>
      <c r="B7" s="11">
        <f>VLOOKUP("Butler Valley", Dataset!A:G, 7, FALSE)</f>
        <v>2.7</v>
      </c>
      <c r="C7" s="11">
        <f>VLOOKUP("Butler Valley", Dataset!A:N, 14, FALSE)</f>
        <v>7.6</v>
      </c>
      <c r="D7" s="11">
        <f>VLOOKUP("Butler Valley", Dataset!A:R, 18, FALSE)</f>
        <v>4.2</v>
      </c>
      <c r="E7" s="11">
        <f>VLOOKUP("Butler Valley", Dataset!A:T, 20, FALSE)</f>
        <v>8.9</v>
      </c>
      <c r="F7" s="8">
        <f>VLOOKUP("butler Valley", Dataset!A:V, 22, FALSE)</f>
        <v>4.2</v>
      </c>
    </row>
    <row r="8" spans="1:7" ht="14.5" x14ac:dyDescent="0.35">
      <c r="A8" s="7" t="s">
        <v>7</v>
      </c>
      <c r="B8" s="11">
        <f>VLOOKUP("Allegheny Valley", Dataset!A:G, 7, FALSE)</f>
        <v>3.6</v>
      </c>
      <c r="C8" s="11">
        <f>VLOOKUP("Allegheny Valley", Dataset!A:N, 14, FALSE)</f>
        <v>11.1</v>
      </c>
      <c r="D8" s="11">
        <f>VLOOKUP("Allegheny Valley", Dataset!A:R, 18, FALSE)</f>
        <v>5.8</v>
      </c>
      <c r="E8" s="11">
        <f>VLOOKUP("Allegheny Valley", Dataset!A:T, 20, FALSE)</f>
        <v>12.2</v>
      </c>
      <c r="F8" s="8">
        <f>VLOOKUP("Allegheny Valley", Dataset!A:V, 22, FALSE)</f>
        <v>5.8</v>
      </c>
    </row>
    <row r="9" spans="1:7" ht="14.5" x14ac:dyDescent="0.35">
      <c r="A9" s="7" t="s">
        <v>8</v>
      </c>
      <c r="B9" s="11">
        <f>VLOOKUP("Pittsburgh", Dataset!A:G, 7, FALSE)</f>
        <v>4.9000000000000004</v>
      </c>
      <c r="C9" s="11">
        <f>VLOOKUP("Pittsburgh", Dataset!A:N, 14, FALSE)</f>
        <v>13.3</v>
      </c>
      <c r="D9" s="11">
        <f>VLOOKUP("Pittsburgh", Dataset!A:R, 18, FALSE)</f>
        <v>8.1</v>
      </c>
      <c r="E9" s="11">
        <f>VLOOKUP("Pittsburgh", Dataset!A:T, 20, FALSE)</f>
        <v>17</v>
      </c>
      <c r="F9" s="8">
        <f>VLOOKUP("Pittsburgh", Dataset!A:V, 22, FALSE)</f>
        <v>8.1</v>
      </c>
    </row>
    <row r="10" spans="1:7" ht="14.5" x14ac:dyDescent="0.35">
      <c r="A10" s="7" t="s">
        <v>11</v>
      </c>
      <c r="B10" s="11">
        <f>VLOOKUP("Donegal", Dataset!A:G, 7, FALSE)</f>
        <v>9.4</v>
      </c>
      <c r="C10" s="11">
        <f>VLOOKUP("Donegal", Dataset!A:N, 14, FALSE)</f>
        <v>28.3</v>
      </c>
      <c r="D10" s="11">
        <f>VLOOKUP("Donegal", Dataset!A:R, 18, FALSE)</f>
        <v>16.100000000000001</v>
      </c>
      <c r="E10" s="11">
        <f>VLOOKUP("Donegal", Dataset!A:T, 20, FALSE)</f>
        <v>32.799999999999997</v>
      </c>
      <c r="F10" s="8">
        <f>VLOOKUP("Donegal", Dataset!A:V, 22, FALSE)</f>
        <v>16.100000000000001</v>
      </c>
    </row>
    <row r="11" spans="1:7" ht="14.5" x14ac:dyDescent="0.35">
      <c r="A11" s="7" t="s">
        <v>12</v>
      </c>
      <c r="B11" s="11">
        <f>VLOOKUP("Somerset", Dataset!A:G, 7, FALSE)</f>
        <v>11.6</v>
      </c>
      <c r="C11" s="11">
        <f>VLOOKUP("Somerset", Dataset!A:N, 14, FALSE)</f>
        <v>35.200000000000003</v>
      </c>
      <c r="D11" s="11">
        <f>VLOOKUP("Somerset", Dataset!A:R, 18, FALSE)</f>
        <v>21.3</v>
      </c>
      <c r="E11" s="11">
        <f>VLOOKUP("Somerset", Dataset!A:T, 20, FALSE)</f>
        <v>43</v>
      </c>
      <c r="F11" s="8">
        <f>VLOOKUP("Somerset", Dataset!A:V, 22, FALSE)</f>
        <v>21.3</v>
      </c>
    </row>
    <row r="12" spans="1:7" ht="14.5" x14ac:dyDescent="0.35">
      <c r="A12" s="7" t="s">
        <v>14</v>
      </c>
      <c r="B12" s="11">
        <f>VLOOKUP("Breezewood", Dataset!A:G, 7, FALSE)</f>
        <v>18.399999999999999</v>
      </c>
      <c r="C12" s="11">
        <f>VLOOKUP("Breezewood", Dataset!A:N, 14, FALSE)</f>
        <v>55.6</v>
      </c>
      <c r="D12" s="11">
        <f>VLOOKUP("Breezewood", Dataset!A:R, 18, FALSE)</f>
        <v>33.799999999999997</v>
      </c>
      <c r="E12" s="11">
        <f>VLOOKUP("Breezewood", Dataset!A:T, 20, FALSE)</f>
        <v>67.900000000000006</v>
      </c>
      <c r="F12" s="8">
        <f>VLOOKUP("Breezewood", Dataset!A:V, 22, FALSE)</f>
        <v>33.799999999999997</v>
      </c>
    </row>
    <row r="13" spans="1:7" ht="14.5" x14ac:dyDescent="0.35">
      <c r="A13" s="7" t="s">
        <v>15</v>
      </c>
      <c r="B13" s="11">
        <f>VLOOKUP("Fort Littleton", Dataset!A:G, 7, FALSE)</f>
        <v>0</v>
      </c>
      <c r="C13" s="11">
        <f>VLOOKUP("Fort Littleton", Dataset!A:N, 14, FALSE)</f>
        <v>0</v>
      </c>
      <c r="D13" s="11">
        <f>VLOOKUP("Fort Littleton", Dataset!A:R, 18, FALSE)</f>
        <v>0</v>
      </c>
      <c r="E13" s="11">
        <f>VLOOKUP("Fort Littleton", Dataset!A:T, 20, FALSE)</f>
        <v>0</v>
      </c>
      <c r="F13" s="8">
        <f>VLOOKUP("Fort Littleton", Dataset!A:V, 22, FALSE)</f>
        <v>0</v>
      </c>
    </row>
    <row r="14" spans="1:7" ht="14.5" x14ac:dyDescent="0.35">
      <c r="A14" s="7" t="s">
        <v>16</v>
      </c>
      <c r="B14" s="11">
        <f>VLOOKUP("Willow Hill", Dataset!A:G, 7, FALSE)</f>
        <v>21.9</v>
      </c>
      <c r="C14" s="11">
        <f>VLOOKUP("Willow Hill", Dataset!A:N, 14, FALSE)</f>
        <v>61.5</v>
      </c>
      <c r="D14" s="11">
        <f>VLOOKUP("Willow Hill", Dataset!A:R, 18, FALSE)</f>
        <v>40.1</v>
      </c>
      <c r="E14" s="11">
        <f>VLOOKUP("Willow Hill", Dataset!A:T, 20, FALSE)</f>
        <v>76.599999999999994</v>
      </c>
      <c r="F14" s="8">
        <f>VLOOKUP("Willow Hill", Dataset!A:V, 22, FALSE)</f>
        <v>40.1</v>
      </c>
    </row>
    <row r="15" spans="1:7" ht="14.5" x14ac:dyDescent="0.35">
      <c r="A15" s="7" t="s">
        <v>18</v>
      </c>
      <c r="B15" s="11">
        <f>VLOOKUP("Carlisle", Dataset!A:G, 7, FALSE)</f>
        <v>26.8</v>
      </c>
      <c r="C15" s="11">
        <f>VLOOKUP("Carlisle", Dataset!A:N, 14, FALSE)</f>
        <v>79.599999999999994</v>
      </c>
      <c r="D15" s="11">
        <f>VLOOKUP("Carlisle", Dataset!A:R, 18, FALSE)</f>
        <v>47.9</v>
      </c>
      <c r="E15" s="11">
        <f>VLOOKUP("Carlisle", Dataset!A:T, 20, FALSE)</f>
        <v>96.8</v>
      </c>
      <c r="F15" s="8">
        <f>VLOOKUP("Carlisle", Dataset!A:V, 22, FALSE)</f>
        <v>47.9</v>
      </c>
    </row>
    <row r="16" spans="1:7" ht="14.5" x14ac:dyDescent="0.35">
      <c r="A16" s="7" t="s">
        <v>20</v>
      </c>
      <c r="B16" s="11">
        <f>VLOOKUP("Harrisburg West", Dataset!A:G, 7, FALSE)</f>
        <v>28.5</v>
      </c>
      <c r="C16" s="11">
        <f>VLOOKUP("Harrisburg West", Dataset!A:N, 14, FALSE)</f>
        <v>85.4</v>
      </c>
      <c r="D16" s="11">
        <f>VLOOKUP("Harrisburg West", Dataset!A:R, 18, FALSE)</f>
        <v>52.3</v>
      </c>
      <c r="E16" s="11">
        <f>VLOOKUP("Harrisburg West", Dataset!A:T, 20, FALSE)</f>
        <v>106.1</v>
      </c>
      <c r="F16" s="8">
        <f>VLOOKUP("Harrisburg West", Dataset!A:V, 22, FALSE)</f>
        <v>52.3</v>
      </c>
    </row>
    <row r="17" spans="1:6" ht="14.5" x14ac:dyDescent="0.35">
      <c r="A17" s="7" t="s">
        <v>22</v>
      </c>
      <c r="B17" s="11">
        <f>VLOOKUP("Lebanon-Lancaster", Dataset!A:G, 7, FALSE)</f>
        <v>30.7</v>
      </c>
      <c r="C17" s="11">
        <f>VLOOKUP("Lebanon-Lancaster", Dataset!A:N, 14, FALSE)</f>
        <v>92.1</v>
      </c>
      <c r="D17" s="11">
        <f>VLOOKUP("Lebanon-Lancaster", Dataset!A:R, 18, FALSE)</f>
        <v>57</v>
      </c>
      <c r="E17" s="11">
        <f>VLOOKUP("Lebanon-Lancaster", Dataset!A:T, 20, FALSE)</f>
        <v>115.1</v>
      </c>
      <c r="F17" s="8">
        <f>VLOOKUP("lebanon-Lancaster", Dataset!A:V, 22, FALSE)</f>
        <v>57</v>
      </c>
    </row>
    <row r="18" spans="1:6" ht="14.5" x14ac:dyDescent="0.35">
      <c r="A18" s="7" t="s">
        <v>23</v>
      </c>
      <c r="B18" s="11">
        <f>VLOOKUP("Reading", Dataset!A:G, 7, FALSE)</f>
        <v>33.799999999999997</v>
      </c>
      <c r="C18" s="11">
        <f>VLOOKUP("Reading", Dataset!A:N, 14, FALSE)</f>
        <v>101.3</v>
      </c>
      <c r="D18" s="11">
        <f>VLOOKUP("Reading", Dataset!A:R, 18, FALSE)</f>
        <v>61.4</v>
      </c>
      <c r="E18" s="11">
        <f>VLOOKUP("Reading", Dataset!A:T, 20, FALSE)</f>
        <v>124.4</v>
      </c>
      <c r="F18" s="8">
        <f>VLOOKUP("Reading", Dataset!A:V, 22, FALSE)</f>
        <v>61.4</v>
      </c>
    </row>
    <row r="19" spans="1:6" ht="14.5" x14ac:dyDescent="0.35">
      <c r="A19" s="7" t="s">
        <v>24</v>
      </c>
      <c r="B19" s="11">
        <f>VLOOKUP("Morgantown", Dataset!A:G, 7, FALSE)</f>
        <v>34.700000000000003</v>
      </c>
      <c r="C19" s="11">
        <f>VLOOKUP("Morgantown", Dataset!A:N, 14, FALSE)</f>
        <v>106.1</v>
      </c>
      <c r="D19" s="11">
        <f>VLOOKUP("Morgantown", Dataset!A:R, 18, FALSE)</f>
        <v>63.6</v>
      </c>
      <c r="E19" s="11">
        <f>VLOOKUP("Morgantown", Dataset!A:T, 20, FALSE)</f>
        <v>128.6</v>
      </c>
      <c r="F19" s="8">
        <f>VLOOKUP("Morgantown", Dataset!A:V, 22, FALSE)</f>
        <v>63.6</v>
      </c>
    </row>
    <row r="20" spans="1:6" ht="14.5" x14ac:dyDescent="0.35">
      <c r="A20" s="7" t="s">
        <v>28</v>
      </c>
      <c r="B20" s="11">
        <f>VLOOKUP("Fort Washington", Dataset!A:G, 7, FALSE)</f>
        <v>0</v>
      </c>
      <c r="C20" s="11">
        <f>VLOOKUP("Fort Washington", Dataset!A:N, 14, FALSE)</f>
        <v>0</v>
      </c>
      <c r="D20" s="11">
        <f>VLOOKUP("Fort Washington", Dataset!A:R, 18, FALSE)</f>
        <v>0</v>
      </c>
      <c r="E20" s="11">
        <f>VLOOKUP("Fort Washington", Dataset!A:T, 20, FALSE)</f>
        <v>0</v>
      </c>
      <c r="F20" s="8">
        <f>VLOOKUP("Fort Washington", Dataset!A:V, 22, FALSE)</f>
        <v>0</v>
      </c>
    </row>
    <row r="21" spans="1:6" ht="14.5" x14ac:dyDescent="0.35">
      <c r="A21" s="7" t="s">
        <v>57</v>
      </c>
      <c r="B21" s="11">
        <f>VLOOKUP("Virginia Drive ", Dataset!A:G, 7, FALSE)</f>
        <v>41.3</v>
      </c>
      <c r="C21" s="11">
        <f>VLOOKUP("Virginia Drive ", Dataset!A:N, 14, FALSE)</f>
        <v>124.4</v>
      </c>
      <c r="D21" s="11">
        <f>VLOOKUP("Virginia Drive ", Dataset!A:R, 18, FALSE)</f>
        <v>75</v>
      </c>
      <c r="E21" s="11">
        <f>VLOOKUP("Virginia Drive ", Dataset!A:T, 20, FALSE)</f>
        <v>151.5</v>
      </c>
      <c r="F21" s="8">
        <f>VLOOKUP("Virginia Drive ", Dataset!A:V, 22, FALSE)</f>
        <v>75</v>
      </c>
    </row>
    <row r="22" spans="1:6" ht="14.5" x14ac:dyDescent="0.35">
      <c r="A22" s="7" t="s">
        <v>58</v>
      </c>
      <c r="B22" s="11">
        <f>VLOOKUP("St. Rd ", Dataset!A:G, 7, FALSE)</f>
        <v>-1</v>
      </c>
      <c r="C22" s="11">
        <f>VLOOKUP("St. Rd ", Dataset!A:N, 14, FALSE)</f>
        <v>-1</v>
      </c>
      <c r="D22" s="11">
        <f>VLOOKUP("St. Rd ", Dataset!A:R, 18, FALSE)</f>
        <v>-1</v>
      </c>
      <c r="E22" s="11">
        <f>VLOOKUP("St. Rd ", Dataset!A:T, 20, FALSE)</f>
        <v>-1</v>
      </c>
      <c r="F22" s="8">
        <f>VLOOKUP("St. Rd ", Dataset!A:V, 22, FALSE)</f>
        <v>-1</v>
      </c>
    </row>
    <row r="23" spans="1:6" ht="14.5" x14ac:dyDescent="0.35">
      <c r="A23" s="7" t="s">
        <v>31</v>
      </c>
      <c r="B23" s="11">
        <f>VLOOKUP("Neshaminy Falls", Dataset!A:G, 7, FALSE)</f>
        <v>45</v>
      </c>
      <c r="C23" s="11">
        <f>VLOOKUP("Neshaminy Falls", Dataset!A:N, 14, FALSE)</f>
        <v>133.4</v>
      </c>
      <c r="D23" s="11">
        <f>VLOOKUP("Neshaminy Falls", Dataset!A:R, 18, FALSE)</f>
        <v>79.400000000000006</v>
      </c>
      <c r="E23" s="11">
        <f>VLOOKUP("Neshaminy Falls", Dataset!A:T, 20, FALSE)</f>
        <v>160.9</v>
      </c>
      <c r="F23" s="8">
        <f>VLOOKUP("Neshaminy Falls", Dataset!A:V, 22, FALSE)</f>
        <v>79.400000000000006</v>
      </c>
    </row>
    <row r="24" spans="1:6" ht="14.5" x14ac:dyDescent="0.35">
      <c r="A24" s="7" t="s">
        <v>32</v>
      </c>
      <c r="B24" s="11">
        <f>VLOOKUP("Mid-County", Dataset!A:G, 7, FALSE)</f>
        <v>-1</v>
      </c>
      <c r="C24" s="11">
        <f>VLOOKUP("Mid-County", Dataset!A:N, 14, FALSE)</f>
        <v>-1</v>
      </c>
      <c r="D24" s="11">
        <f>VLOOKUP("Mid-County", Dataset!A:R, 18, FALSE)</f>
        <v>-1</v>
      </c>
      <c r="E24" s="11">
        <f>VLOOKUP("Mid-County", Dataset!A:T, 20, FALSE)</f>
        <v>-1</v>
      </c>
      <c r="F24" s="8">
        <f>VLOOKUP("Mid-County", Dataset!A:V, 22, FALSE)</f>
        <v>-1</v>
      </c>
    </row>
    <row r="25" spans="1:6" ht="14.5" x14ac:dyDescent="0.35">
      <c r="A25" s="7" t="s">
        <v>34</v>
      </c>
      <c r="B25" s="11">
        <f>VLOOKUP("Quakertown", Dataset!A:G, 7, FALSE)</f>
        <v>43.3</v>
      </c>
      <c r="C25" s="11">
        <f>VLOOKUP("Quakertown", Dataset!A:N, 14, FALSE)</f>
        <v>128.6</v>
      </c>
      <c r="D25" s="11">
        <f>VLOOKUP("Quakertown", Dataset!A:R, 18, FALSE)</f>
        <v>79.400000000000006</v>
      </c>
      <c r="E25" s="11">
        <f>VLOOKUP("Quakertown", Dataset!A:T, 20, FALSE)</f>
        <v>160.9</v>
      </c>
      <c r="F25" s="8">
        <f>VLOOKUP("Quakertown", Dataset!A:V, 22, FALSE)</f>
        <v>79.400000000000006</v>
      </c>
    </row>
    <row r="26" spans="1:6" ht="14.5" x14ac:dyDescent="0.35">
      <c r="A26" s="7" t="s">
        <v>37</v>
      </c>
      <c r="B26" s="11">
        <f>VLOOKUP("Pocono", Dataset!A:G, 7, FALSE)</f>
        <v>49.1</v>
      </c>
      <c r="C26" s="11">
        <f>VLOOKUP("Pocono", Dataset!A:N, 14, FALSE)</f>
        <v>146.80000000000001</v>
      </c>
      <c r="D26" s="11">
        <f>VLOOKUP("Pocono", Dataset!A:R, 18, FALSE)</f>
        <v>90.9</v>
      </c>
      <c r="E26" s="11">
        <f>VLOOKUP("Pocono", Dataset!A:T, 20, FALSE)</f>
        <v>183.5</v>
      </c>
      <c r="F26" s="8">
        <f>VLOOKUP("Pocono", Dataset!A:V, 22, FALSE)</f>
        <v>90.9</v>
      </c>
    </row>
    <row r="27" spans="1:6" ht="14.5" x14ac:dyDescent="0.35">
      <c r="A27" s="7" t="s">
        <v>39</v>
      </c>
      <c r="B27" s="11">
        <f>VLOOKUP("Wyoming Valley", Dataset!A:G, 7, FALSE)</f>
        <v>51.8</v>
      </c>
      <c r="C27" s="11">
        <f>VLOOKUP("Wyoming Valley", Dataset!A:N, 14, FALSE)</f>
        <v>156.4</v>
      </c>
      <c r="D27" s="11">
        <f>VLOOKUP("Wyoming Valley", Dataset!A:R, 18, FALSE)</f>
        <v>93.1</v>
      </c>
      <c r="E27" s="11">
        <f>VLOOKUP("Wyoming Valley", Dataset!A:T, 20, FALSE)</f>
        <v>188.1</v>
      </c>
      <c r="F27" s="8">
        <f>VLOOKUP("Wyoming Valley", Dataset!A:V, 22, FALSE)</f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AP54"/>
  <sheetViews>
    <sheetView topLeftCell="A13" zoomScaleNormal="100" workbookViewId="0">
      <selection activeCell="H16" sqref="H16"/>
    </sheetView>
  </sheetViews>
  <sheetFormatPr defaultColWidth="11" defaultRowHeight="14.5" x14ac:dyDescent="0.35"/>
  <cols>
    <col min="1" max="1" width="39.796875" style="1" bestFit="1" customWidth="1"/>
    <col min="2" max="2" width="40.3984375" style="1" customWidth="1"/>
    <col min="3" max="16384" width="11" style="1"/>
  </cols>
  <sheetData>
    <row r="1" spans="1:42" s="40" customFormat="1" ht="21" x14ac:dyDescent="0.5">
      <c r="A1" s="41" t="s">
        <v>56</v>
      </c>
      <c r="B1" s="40" t="s">
        <v>174</v>
      </c>
    </row>
    <row r="2" spans="1:42" customFormat="1" ht="13" x14ac:dyDescent="0.3"/>
    <row r="3" spans="1:42" s="2" customFormat="1" x14ac:dyDescent="0.35">
      <c r="B3" s="1"/>
    </row>
    <row r="4" spans="1:42" s="2" customFormat="1" x14ac:dyDescent="0.35">
      <c r="B4" s="1" t="s">
        <v>151</v>
      </c>
    </row>
    <row r="5" spans="1:42" ht="18.5" x14ac:dyDescent="0.45">
      <c r="A5" s="42" t="s">
        <v>53</v>
      </c>
      <c r="B5" s="39" t="s">
        <v>178</v>
      </c>
      <c r="C5" s="1" t="s">
        <v>179</v>
      </c>
      <c r="M5" s="1" t="s">
        <v>180</v>
      </c>
      <c r="Z5" s="1" t="s">
        <v>181</v>
      </c>
      <c r="AP5" s="1" t="s">
        <v>182</v>
      </c>
    </row>
    <row r="6" spans="1:42" ht="18.5" x14ac:dyDescent="0.45">
      <c r="A6" s="42" t="s">
        <v>153</v>
      </c>
      <c r="B6" s="39" t="s">
        <v>183</v>
      </c>
    </row>
    <row r="7" spans="1:42" ht="18.5" x14ac:dyDescent="0.45">
      <c r="A7" s="42"/>
      <c r="B7" s="39"/>
    </row>
    <row r="9" spans="1:42" ht="23.5" x14ac:dyDescent="0.55000000000000004">
      <c r="A9" s="17" t="s">
        <v>165</v>
      </c>
      <c r="I9" s="2"/>
      <c r="J9" s="2"/>
    </row>
    <row r="10" spans="1:42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42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42" ht="23.5" x14ac:dyDescent="0.55000000000000004">
      <c r="A14" s="17" t="s">
        <v>162</v>
      </c>
    </row>
    <row r="15" spans="1:42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42" x14ac:dyDescent="0.35">
      <c r="A16" s="7" t="s">
        <v>121</v>
      </c>
      <c r="B16" s="11" t="str">
        <f>LEFT(A16,5)</f>
        <v>20000</v>
      </c>
      <c r="C16" s="1" t="str">
        <f>MID(A16, FIND("-", A16) + 1, FIND("-", MID(A16, FIND("-", A16) + 1, LEN(A16))) - 1)</f>
        <v>Monday</v>
      </c>
      <c r="D16" s="11">
        <f>VALUE(MID(A16, FIND("-", A16, FIND("-", A16) + 1) + 1, FIND("-", MID(A16, FIND("-", A16, FIND("-", A16) + 1) + 1, LEN(A16))) - 1))</f>
        <v>0</v>
      </c>
      <c r="E16" s="1" t="str">
        <f>MID(A16, FIND("-", A16, FIND("-", A16, FIND("-", A16) + 1) + 1) + 1, FIND("-", MID(A16, FIND("-", A16, FIND("-", A16, FIND("-", A16) + 1) + 1) + 1, LEN(A16))) - 1)</f>
        <v>Sunday</v>
      </c>
      <c r="F16" s="11" t="str">
        <f>RIGHT(A16,2)</f>
        <v>24</v>
      </c>
    </row>
    <row r="17" spans="1:6" x14ac:dyDescent="0.35">
      <c r="A17" s="7" t="s">
        <v>122</v>
      </c>
      <c r="B17" s="11" t="str">
        <f t="shared" ref="B17:B54" si="0">LEFT(A17,5)</f>
        <v>20002</v>
      </c>
      <c r="C17" s="1" t="str">
        <f t="shared" ref="C17:C54" si="1">MID(A17, FIND("-", A17) + 1, FIND("-", MID(A17, FIND("-", A17) + 1, LEN(A17))) - 1)</f>
        <v>Monday</v>
      </c>
      <c r="D17" s="11">
        <f t="shared" ref="D17:D54" si="2">VALUE(MID(A17, FIND("-", A17, FIND("-", A17) + 1) + 1, FIND("-", MID(A17, FIND("-", A17, FIND("-", A17) + 1) + 1, LEN(A17))) - 1))</f>
        <v>0</v>
      </c>
      <c r="E17" s="1" t="str">
        <f t="shared" ref="E17:E54" si="3">MID(A17, FIND("-", A17, FIND("-", A17, FIND("-", A17) + 1) + 1) + 1, FIND("-", MID(A17, FIND("-", A17, FIND("-", A17, FIND("-", A17) + 1) + 1) + 1, LEN(A17))) - 1)</f>
        <v>Sunday</v>
      </c>
      <c r="F17" s="11" t="str">
        <f t="shared" ref="F17:F54" si="4">RIGHT(A17,2)</f>
        <v>24</v>
      </c>
    </row>
    <row r="18" spans="1:6" x14ac:dyDescent="0.35">
      <c r="A18" s="7" t="s">
        <v>123</v>
      </c>
      <c r="B18" s="11" t="str">
        <f t="shared" si="0"/>
        <v>20004</v>
      </c>
      <c r="C18" s="1" t="str">
        <f t="shared" si="1"/>
        <v>Monday</v>
      </c>
      <c r="D18" s="11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5">
      <c r="A19" s="7" t="s">
        <v>124</v>
      </c>
      <c r="B19" s="11" t="str">
        <f t="shared" si="0"/>
        <v>20006</v>
      </c>
      <c r="C19" s="1" t="str">
        <f t="shared" si="1"/>
        <v>Monday</v>
      </c>
      <c r="D19" s="11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5">
      <c r="A20" s="7" t="s">
        <v>125</v>
      </c>
      <c r="B20" s="11" t="str">
        <f t="shared" si="0"/>
        <v>20008</v>
      </c>
      <c r="C20" s="1" t="str">
        <f t="shared" si="1"/>
        <v>Monday</v>
      </c>
      <c r="D20" s="11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5">
      <c r="A21" s="7" t="s">
        <v>126</v>
      </c>
      <c r="B21" s="11" t="str">
        <f t="shared" si="0"/>
        <v>20010</v>
      </c>
      <c r="C21" s="1" t="str">
        <f t="shared" si="1"/>
        <v>Monday</v>
      </c>
      <c r="D21" s="11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5">
      <c r="A22" s="7" t="s">
        <v>127</v>
      </c>
      <c r="B22" s="11" t="str">
        <f t="shared" si="0"/>
        <v>20012</v>
      </c>
      <c r="C22" s="1" t="str">
        <f t="shared" si="1"/>
        <v>Monday</v>
      </c>
      <c r="D22" s="11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5">
      <c r="A23" s="7" t="s">
        <v>128</v>
      </c>
      <c r="B23" s="11" t="str">
        <f t="shared" si="0"/>
        <v>20014</v>
      </c>
      <c r="C23" s="1" t="str">
        <f t="shared" si="1"/>
        <v>Monday</v>
      </c>
      <c r="D23" s="11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5">
      <c r="A24" s="7" t="s">
        <v>129</v>
      </c>
      <c r="B24" s="11" t="str">
        <f t="shared" si="0"/>
        <v>20016</v>
      </c>
      <c r="C24" s="1" t="str">
        <f t="shared" si="1"/>
        <v>Monday</v>
      </c>
      <c r="D24" s="11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5">
      <c r="A25" s="7" t="s">
        <v>130</v>
      </c>
      <c r="B25" s="11" t="str">
        <f t="shared" si="0"/>
        <v>20018</v>
      </c>
      <c r="C25" s="1" t="str">
        <f t="shared" si="1"/>
        <v>Monday</v>
      </c>
      <c r="D25" s="11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5">
      <c r="A26" s="7" t="s">
        <v>131</v>
      </c>
      <c r="B26" s="11" t="str">
        <f t="shared" si="0"/>
        <v>20020</v>
      </c>
      <c r="C26" s="1" t="str">
        <f t="shared" si="1"/>
        <v>Monday</v>
      </c>
      <c r="D26" s="11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5">
      <c r="A27" s="7" t="s">
        <v>132</v>
      </c>
      <c r="B27" s="11" t="str">
        <f t="shared" si="0"/>
        <v>20022</v>
      </c>
      <c r="C27" s="1" t="str">
        <f t="shared" si="1"/>
        <v>Monday</v>
      </c>
      <c r="D27" s="11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5">
      <c r="A28" s="7" t="s">
        <v>133</v>
      </c>
      <c r="B28" s="11" t="str">
        <f t="shared" si="0"/>
        <v>20024</v>
      </c>
      <c r="C28" s="1" t="str">
        <f t="shared" si="1"/>
        <v>Monday</v>
      </c>
      <c r="D28" s="11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5">
      <c r="A29" s="7" t="s">
        <v>134</v>
      </c>
      <c r="B29" s="11" t="str">
        <f t="shared" si="0"/>
        <v>20026</v>
      </c>
      <c r="C29" s="1" t="str">
        <f t="shared" si="1"/>
        <v>Monday</v>
      </c>
      <c r="D29" s="11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5">
      <c r="A30" s="7" t="s">
        <v>135</v>
      </c>
      <c r="B30" s="11" t="str">
        <f t="shared" si="0"/>
        <v>20028</v>
      </c>
      <c r="C30" s="1" t="str">
        <f t="shared" si="1"/>
        <v>Monday</v>
      </c>
      <c r="D30" s="11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5">
      <c r="A31" s="7" t="s">
        <v>136</v>
      </c>
      <c r="B31" s="11" t="str">
        <f t="shared" si="0"/>
        <v>20030</v>
      </c>
      <c r="C31" s="1" t="str">
        <f t="shared" si="1"/>
        <v>Monday</v>
      </c>
      <c r="D31" s="11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5">
      <c r="A32" s="7" t="s">
        <v>137</v>
      </c>
      <c r="B32" s="11" t="str">
        <f t="shared" si="0"/>
        <v>20032</v>
      </c>
      <c r="C32" s="1" t="str">
        <f t="shared" si="1"/>
        <v>Monday</v>
      </c>
      <c r="D32" s="11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5">
      <c r="A33" s="7" t="s">
        <v>138</v>
      </c>
      <c r="B33" s="11" t="str">
        <f t="shared" si="0"/>
        <v>20034</v>
      </c>
      <c r="C33" s="1" t="str">
        <f t="shared" si="1"/>
        <v>Monday</v>
      </c>
      <c r="D33" s="11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5">
      <c r="A34" s="7" t="s">
        <v>139</v>
      </c>
      <c r="B34" s="11" t="str">
        <f t="shared" si="0"/>
        <v>20036</v>
      </c>
      <c r="C34" s="1" t="str">
        <f t="shared" si="1"/>
        <v>Monday</v>
      </c>
      <c r="D34" s="11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5">
      <c r="A35" s="7" t="s">
        <v>140</v>
      </c>
      <c r="B35" s="11" t="str">
        <f t="shared" si="0"/>
        <v>20038</v>
      </c>
      <c r="C35" s="1" t="str">
        <f t="shared" si="1"/>
        <v>Monday</v>
      </c>
      <c r="D35" s="11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5">
      <c r="A36" s="7" t="s">
        <v>141</v>
      </c>
      <c r="B36" s="11" t="str">
        <f t="shared" si="0"/>
        <v>20040</v>
      </c>
      <c r="C36" s="1" t="str">
        <f t="shared" si="1"/>
        <v>Monday</v>
      </c>
      <c r="D36" s="11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5">
      <c r="A37" s="7" t="s">
        <v>142</v>
      </c>
      <c r="B37" s="11" t="str">
        <f t="shared" si="0"/>
        <v>20042</v>
      </c>
      <c r="C37" s="1" t="str">
        <f t="shared" si="1"/>
        <v>Monday</v>
      </c>
      <c r="D37" s="11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5">
      <c r="A38" s="7" t="s">
        <v>143</v>
      </c>
      <c r="B38" s="11" t="str">
        <f t="shared" si="0"/>
        <v>20044</v>
      </c>
      <c r="C38" s="1" t="str">
        <f t="shared" si="1"/>
        <v>Monday</v>
      </c>
      <c r="D38" s="11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5">
      <c r="A39" s="7" t="s">
        <v>144</v>
      </c>
      <c r="B39" s="11" t="str">
        <f t="shared" si="0"/>
        <v>20046</v>
      </c>
      <c r="C39" s="1" t="str">
        <f t="shared" si="1"/>
        <v>Monday</v>
      </c>
      <c r="D39" s="11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5">
      <c r="A40" s="7" t="s">
        <v>145</v>
      </c>
      <c r="B40" s="11" t="str">
        <f t="shared" si="0"/>
        <v>20048</v>
      </c>
      <c r="C40" s="1" t="str">
        <f t="shared" si="1"/>
        <v>Monday</v>
      </c>
      <c r="D40" s="11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5">
      <c r="A41" s="7" t="s">
        <v>146</v>
      </c>
      <c r="B41" s="11" t="str">
        <f t="shared" si="0"/>
        <v>20050</v>
      </c>
      <c r="C41" s="1" t="str">
        <f t="shared" si="1"/>
        <v>Monday</v>
      </c>
      <c r="D41" s="11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5">
      <c r="A42" s="7" t="s">
        <v>147</v>
      </c>
      <c r="B42" s="11" t="str">
        <f t="shared" si="0"/>
        <v>20052</v>
      </c>
      <c r="C42" s="1" t="str">
        <f t="shared" si="1"/>
        <v>Monday</v>
      </c>
      <c r="D42" s="11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5">
      <c r="A43" s="7" t="s">
        <v>148</v>
      </c>
      <c r="B43" s="11" t="str">
        <f t="shared" si="0"/>
        <v>20054</v>
      </c>
      <c r="C43" s="1" t="str">
        <f t="shared" si="1"/>
        <v>Monday</v>
      </c>
      <c r="D43" s="11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5">
      <c r="A44" s="7" t="s">
        <v>149</v>
      </c>
      <c r="B44" s="11" t="str">
        <f t="shared" si="0"/>
        <v>20058</v>
      </c>
      <c r="C44" s="1" t="str">
        <f t="shared" si="1"/>
        <v>Monday</v>
      </c>
      <c r="D44" s="11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5">
      <c r="A45" s="7" t="s">
        <v>150</v>
      </c>
      <c r="B45" s="11" t="str">
        <f t="shared" si="0"/>
        <v>20060</v>
      </c>
      <c r="C45" s="1" t="str">
        <f t="shared" si="1"/>
        <v>Monday</v>
      </c>
      <c r="D45" s="11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5">
      <c r="A46" s="7" t="s">
        <v>112</v>
      </c>
      <c r="B46" s="11" t="str">
        <f t="shared" si="0"/>
        <v>21000</v>
      </c>
      <c r="C46" s="1" t="str">
        <f t="shared" si="1"/>
        <v>Monday</v>
      </c>
      <c r="D46" s="11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5">
      <c r="A47" s="7" t="s">
        <v>113</v>
      </c>
      <c r="B47" s="11" t="str">
        <f t="shared" si="0"/>
        <v>21002</v>
      </c>
      <c r="C47" s="1" t="str">
        <f t="shared" si="1"/>
        <v>Monday</v>
      </c>
      <c r="D47" s="11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5">
      <c r="A48" s="7" t="s">
        <v>114</v>
      </c>
      <c r="B48" s="11" t="str">
        <f t="shared" si="0"/>
        <v>21004</v>
      </c>
      <c r="C48" s="1" t="str">
        <f t="shared" si="1"/>
        <v>Monday</v>
      </c>
      <c r="D48" s="11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5">
      <c r="A49" s="7" t="s">
        <v>115</v>
      </c>
      <c r="B49" s="11" t="str">
        <f t="shared" si="0"/>
        <v>21006</v>
      </c>
      <c r="C49" s="1" t="str">
        <f t="shared" si="1"/>
        <v>Monday</v>
      </c>
      <c r="D49" s="11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5">
      <c r="A50" s="7" t="s">
        <v>116</v>
      </c>
      <c r="B50" s="11" t="str">
        <f t="shared" si="0"/>
        <v>21008</v>
      </c>
      <c r="C50" s="1" t="str">
        <f t="shared" si="1"/>
        <v>Monday</v>
      </c>
      <c r="D50" s="11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5">
      <c r="A51" s="7" t="s">
        <v>117</v>
      </c>
      <c r="B51" s="11" t="str">
        <f t="shared" si="0"/>
        <v>21010</v>
      </c>
      <c r="C51" s="1" t="str">
        <f t="shared" si="1"/>
        <v>Monday</v>
      </c>
      <c r="D51" s="11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5">
      <c r="A52" s="7" t="s">
        <v>118</v>
      </c>
      <c r="B52" s="11" t="str">
        <f t="shared" si="0"/>
        <v>21012</v>
      </c>
      <c r="C52" s="1" t="str">
        <f t="shared" si="1"/>
        <v>Monday</v>
      </c>
      <c r="D52" s="11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5">
      <c r="A53" s="7" t="s">
        <v>119</v>
      </c>
      <c r="B53" s="11" t="str">
        <f t="shared" si="0"/>
        <v>21014</v>
      </c>
      <c r="C53" s="1" t="str">
        <f t="shared" si="1"/>
        <v>Monday</v>
      </c>
      <c r="D53" s="11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5">
      <c r="A54" s="9" t="s">
        <v>120</v>
      </c>
      <c r="B54" s="11" t="str">
        <f t="shared" si="0"/>
        <v>21016</v>
      </c>
      <c r="C54" s="1" t="str">
        <f t="shared" si="1"/>
        <v>Monday</v>
      </c>
      <c r="D54" s="11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3"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184</v>
      </c>
    </row>
    <row r="7" spans="1:3" ht="14.5" x14ac:dyDescent="0.35">
      <c r="A7" s="3" t="s">
        <v>153</v>
      </c>
      <c r="B7" s="1" t="s">
        <v>185</v>
      </c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 t="e">
        <v>#N/A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 t="e">
        <v>#N/A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 t="e">
        <v>#N/A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6" sqref="C6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  <c r="C4" s="2" t="s">
        <v>186</v>
      </c>
    </row>
    <row r="5" spans="1:14" ht="18.5" x14ac:dyDescent="0.45">
      <c r="A5" s="42" t="s">
        <v>153</v>
      </c>
      <c r="B5" s="1"/>
      <c r="C5" s="2" t="s">
        <v>187</v>
      </c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 t="str">
        <f>IFERROR(VLOOKUP(A23, $A$9:$J$18, MATCH(B23, $M$9:$N$18, 0) + 1, FALSE), "Not Found")</f>
        <v>Not Found</v>
      </c>
    </row>
    <row r="24" spans="1:14" ht="14.5" x14ac:dyDescent="0.35">
      <c r="A24" s="7">
        <v>10100</v>
      </c>
      <c r="B24" s="11">
        <v>10104</v>
      </c>
      <c r="C24" s="43" t="str">
        <f>IFERROR(VLOOKUP(A24, $A$9:$J$18, MATCH(B24, $M$9:$N$18, 0) + 1, FALSE), "Not Found")</f>
        <v>Not Found</v>
      </c>
    </row>
    <row r="25" spans="1:14" ht="14.5" x14ac:dyDescent="0.35">
      <c r="A25" s="7">
        <v>10108</v>
      </c>
      <c r="B25" s="11">
        <v>10102</v>
      </c>
      <c r="C25" s="43" t="str">
        <f t="shared" ref="C24:C35" si="0">IFERROR(VLOOKUP(A25, $A$9:$J$18, MATCH(B25, $M$9:$N$18, 0) + 1, FALSE), "Not Found")</f>
        <v>Not Found</v>
      </c>
    </row>
    <row r="26" spans="1:14" ht="14.5" x14ac:dyDescent="0.35">
      <c r="A26" s="7">
        <v>10100</v>
      </c>
      <c r="B26" s="11">
        <v>10106</v>
      </c>
      <c r="C26" s="43" t="str">
        <f t="shared" si="0"/>
        <v>Not Found</v>
      </c>
    </row>
    <row r="27" spans="1:14" ht="14.5" x14ac:dyDescent="0.35">
      <c r="A27" s="7">
        <v>10108</v>
      </c>
      <c r="B27" s="11">
        <v>10110</v>
      </c>
      <c r="C27" s="43" t="str">
        <f t="shared" si="0"/>
        <v>Not Found</v>
      </c>
    </row>
    <row r="28" spans="1:14" ht="14.5" x14ac:dyDescent="0.35">
      <c r="A28" s="7">
        <v>10102</v>
      </c>
      <c r="B28" s="11">
        <v>10104</v>
      </c>
      <c r="C28" s="43" t="str">
        <f t="shared" si="0"/>
        <v>Not Found</v>
      </c>
    </row>
    <row r="29" spans="1:14" ht="14.5" x14ac:dyDescent="0.35">
      <c r="A29" s="7">
        <v>10106</v>
      </c>
      <c r="B29" s="11">
        <v>10108</v>
      </c>
      <c r="C29" s="43" t="str">
        <f t="shared" si="0"/>
        <v>Not Found</v>
      </c>
    </row>
    <row r="30" spans="1:14" ht="14.5" x14ac:dyDescent="0.35">
      <c r="A30" s="7">
        <v>10102</v>
      </c>
      <c r="B30" s="11">
        <v>10106</v>
      </c>
      <c r="C30" s="43" t="str">
        <f t="shared" si="0"/>
        <v>Not Found</v>
      </c>
    </row>
    <row r="31" spans="1:14" ht="14.5" x14ac:dyDescent="0.35">
      <c r="A31" s="7">
        <v>10110</v>
      </c>
      <c r="B31" s="11">
        <v>10114</v>
      </c>
      <c r="C31" s="43" t="str">
        <f t="shared" si="0"/>
        <v>Not Found</v>
      </c>
    </row>
    <row r="32" spans="1:14" ht="14.5" x14ac:dyDescent="0.35">
      <c r="A32" s="7">
        <v>10104</v>
      </c>
      <c r="B32" s="11">
        <v>10106</v>
      </c>
      <c r="C32" s="43" t="str">
        <f t="shared" si="0"/>
        <v>Not Found</v>
      </c>
    </row>
    <row r="33" spans="1:3" ht="14.5" x14ac:dyDescent="0.35">
      <c r="A33" s="7">
        <v>10110</v>
      </c>
      <c r="B33" s="11">
        <v>10112</v>
      </c>
      <c r="C33" s="43" t="str">
        <f t="shared" si="0"/>
        <v>Not Found</v>
      </c>
    </row>
    <row r="34" spans="1:3" ht="14.5" x14ac:dyDescent="0.35">
      <c r="A34" s="7">
        <v>10100</v>
      </c>
      <c r="B34" s="11">
        <v>10114</v>
      </c>
      <c r="C34" s="43" t="str">
        <f t="shared" si="0"/>
        <v>Not Found</v>
      </c>
    </row>
    <row r="35" spans="1:3" ht="14.5" x14ac:dyDescent="0.35">
      <c r="A35" s="9">
        <v>10112</v>
      </c>
      <c r="B35" s="12">
        <v>10116</v>
      </c>
      <c r="C35" s="43" t="str">
        <f t="shared" si="0"/>
        <v>Not Found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Malay Raj</cp:lastModifiedBy>
  <dcterms:created xsi:type="dcterms:W3CDTF">2015-02-10T17:33:11Z</dcterms:created>
  <dcterms:modified xsi:type="dcterms:W3CDTF">2023-12-10T14:17:29Z</dcterms:modified>
</cp:coreProperties>
</file>